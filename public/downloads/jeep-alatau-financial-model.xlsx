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опущения" state="visible" r:id="rId4"/>
    <sheet sheetId="2" name="Финансовая модель" state="visible" r:id="rId5"/>
    <sheet sheetId="3" name="Сезонность" state="visible" r:id="rId6"/>
    <sheet sheetId="4" name="Инвестиции" state="visible" r:id="rId7"/>
  </sheets>
  <calcPr calcId="171027"/>
</workbook>
</file>

<file path=xl/sharedStrings.xml><?xml version="1.0" encoding="utf-8"?>
<sst xmlns="http://schemas.openxmlformats.org/spreadsheetml/2006/main" count="51" uniqueCount="51">
  <si>
    <t>Допущение</t>
  </si>
  <si>
    <t>Значение</t>
  </si>
  <si>
    <t>Переменные затраты на тур, ₸</t>
  </si>
  <si>
    <t>Комиссия эквайринга / онлайн-банкинг</t>
  </si>
  <si>
    <t>Стартовые инвестиции, ₸</t>
  </si>
  <si>
    <t>Размер автопарка</t>
  </si>
  <si>
    <t>Активный сезон, мес</t>
  </si>
  <si>
    <t>Показатель</t>
  </si>
  <si>
    <t>Год 1</t>
  </si>
  <si>
    <t>Год 2</t>
  </si>
  <si>
    <t>Год 3</t>
  </si>
  <si>
    <t>Кол-во туров</t>
  </si>
  <si>
    <t>Средний чек, ₸</t>
  </si>
  <si>
    <t>Выручка</t>
  </si>
  <si>
    <t>Переменные затраты + эквайринг</t>
  </si>
  <si>
    <t>Валовая прибыль</t>
  </si>
  <si>
    <t>Водители-гиды</t>
  </si>
  <si>
    <t>Администрация</t>
  </si>
  <si>
    <t>Маркетинг</t>
  </si>
  <si>
    <t>Лизинг автопарка</t>
  </si>
  <si>
    <t>Обслуживание авто</t>
  </si>
  <si>
    <t>Страхование</t>
  </si>
  <si>
    <t>ПО и ИИ</t>
  </si>
  <si>
    <t>Офис и прочее</t>
  </si>
  <si>
    <t>Итого операционные расходы</t>
  </si>
  <si>
    <t>Чистая прибыль</t>
  </si>
  <si>
    <t>Рентабельность по чистой прибыли</t>
  </si>
  <si>
    <t>Накопленная чистая прибыль</t>
  </si>
  <si>
    <t>Месяц</t>
  </si>
  <si>
    <t>Доля, %</t>
  </si>
  <si>
    <t>Туров (Год 2)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</si>
  <si>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</si>
  <si>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</si>
  <si>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</si>
  <si>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</si>
  <si>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</si>
  <si>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</si>
  <si>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</si>
  <si>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</si>
  <si>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</si>
  <si>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</si>
  <si>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</si>
  <si>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</si>
  <si>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Статья</t>
  </si>
  <si>
    <t>Сумма, ₸</t>
  </si>
  <si>
    <t>Авансы/депозиты по лизингу автопарка</t>
  </si>
  <si>
    <t>Оборудование (трос, лебёдки, палатки, связь, аптечки)</t>
  </si>
  <si>
    <t>Брендинг, сайт, ИИ и система бронирования</t>
  </si>
  <si>
    <t>Лицензии, разрешения, юридическое оформление</t>
  </si>
  <si>
    <t>Стартовый маркетинг и запуск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</si>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</sst>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 &quot;₸&quot;"/>
    <numFmt numFmtId="165" formatCode="0.0%"/>
  </numFmts>
  <fonts count="5" x14ac:knownFonts="1">
    <font>
      <color theme="1"/>
      <family val="2"/>
      <scheme val="minor"/>
      <sz val="11"/>
      <name val="Calibri"/>
    </font>
    <font>
      <b/>
      <color rgb="FFD97706"/>
    </font>
    <font>
      <b/>
      <color rgb="FFFFFFFF"/>
    </font>
    <font>
      <b/>
    </font>
    <font>
      <b/>
      <color rgb="FF16A34A"/>
    </font>
  </fonts>
  <fills count="3">
    <fill>
      <patternFill patternType="none"/>
    </fill>
    <fill>
      <patternFill patternType="gray125"/>
    </fill>
    <fill>
      <patternFill patternType="solid">
        <fgColor rgb="FF11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2" fillId="2" borderId="0" xfId="0" applyFont="1" applyFill="1"/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42" customWidth="1"/>
    <col min="2" max="2" width="1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s="2">
        <v>17000</v>
      </c>
    </row>
    <row r="3" spans="1:2" x14ac:dyDescent="0.25">
      <c r="A3" t="s">
        <v>3</v>
      </c>
      <c r="B3" s="3">
        <v>0.03</v>
      </c>
    </row>
    <row r="4" spans="1:2" x14ac:dyDescent="0.25">
      <c r="A4" t="s">
        <v>4</v>
      </c>
      <c r="B4" s="2">
        <v>17000000</v>
      </c>
    </row>
    <row r="5" spans="1:2" x14ac:dyDescent="0.25">
      <c r="A5" t="s">
        <v>5</v>
      </c>
      <c r="B5" s="4">
        <v>4</v>
      </c>
    </row>
    <row r="6" spans="1:2" x14ac:dyDescent="0.25">
      <c r="A6" t="s">
        <v>6</v>
      </c>
      <c r="B6" s="4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34" customWidth="1"/>
    <col min="2" max="4" width="16" customWidth="1"/>
  </cols>
  <sheetData>
    <row r="1" spans="1:4" s="5" customFormat="1" x14ac:dyDescent="0.25">
      <c r="A1" s="5" t="s">
        <v>7</v>
      </c>
      <c r="B1" s="5" t="s">
        <v>8</v>
      </c>
      <c r="C1" s="5" t="s">
        <v>9</v>
      </c>
      <c r="D1" s="5" t="s">
        <v>10</v>
      </c>
    </row>
    <row r="2" spans="1:4" x14ac:dyDescent="0.25">
      <c r="A2" t="s">
        <v>11</v>
      </c>
      <c r="B2">
        <v>420</v>
      </c>
      <c r="C2">
        <v>720</v>
      </c>
      <c r="D2">
        <v>1040</v>
      </c>
    </row>
    <row r="3" spans="1:4" x14ac:dyDescent="0.25">
      <c r="A3" t="s">
        <v>12</v>
      </c>
      <c r="B3" s="2">
        <v>80000</v>
      </c>
      <c r="C3" s="2">
        <v>88000</v>
      </c>
      <c r="D3" s="2">
        <v>95000</v>
      </c>
    </row>
    <row r="4" spans="1:4" x14ac:dyDescent="0.25">
      <c r="A4" t="s">
        <v>13</v>
      </c>
      <c r="B4" s="2">
        <f>B2*B3</f>
      </c>
      <c r="C4" s="2">
        <f>C2*C3</f>
      </c>
      <c r="D4" s="2">
        <f>D2*D3</f>
      </c>
    </row>
    <row r="5" spans="1:4" x14ac:dyDescent="0.25">
      <c r="A5" t="s">
        <v>14</v>
      </c>
      <c r="B5" s="2">
        <f>B2*Допущения!$B$2+B4*Допущения!$B$3</f>
      </c>
      <c r="C5" s="2">
        <f>C2*Допущения!$B$2+C4*Допущения!$B$3</f>
      </c>
      <c r="D5" s="2">
        <f>D2*Допущения!$B$2+D4*Допущения!$B$3</f>
      </c>
    </row>
    <row r="6" spans="1:4" s="6" customFormat="1" x14ac:dyDescent="0.25">
      <c r="A6" s="6" t="s">
        <v>15</v>
      </c>
      <c r="B6" s="7">
        <f>B4-B5</f>
      </c>
      <c r="C6" s="7">
        <f>C4-C5</f>
      </c>
      <c r="D6" s="7">
        <f>D4-D5</f>
      </c>
    </row>
    <row r="7" spans="1:4" x14ac:dyDescent="0.25">
      <c r="A7" t="s">
        <v>16</v>
      </c>
      <c r="B7" s="2">
        <v>9600000</v>
      </c>
      <c r="C7" s="2">
        <v>17280000</v>
      </c>
      <c r="D7" s="2">
        <v>24480000</v>
      </c>
    </row>
    <row r="8" spans="1:4" x14ac:dyDescent="0.25">
      <c r="A8" t="s">
        <v>17</v>
      </c>
      <c r="B8" s="2">
        <v>3000000</v>
      </c>
      <c r="C8" s="2">
        <v>6720000</v>
      </c>
      <c r="D8" s="2">
        <v>10800000</v>
      </c>
    </row>
    <row r="9" spans="1:4" x14ac:dyDescent="0.25">
      <c r="A9" t="s">
        <v>18</v>
      </c>
      <c r="B9" s="2">
        <v>3600000</v>
      </c>
      <c r="C9" s="2">
        <v>4800000</v>
      </c>
      <c r="D9" s="2">
        <v>6000000</v>
      </c>
    </row>
    <row r="10" spans="1:4" x14ac:dyDescent="0.25">
      <c r="A10" t="s">
        <v>19</v>
      </c>
      <c r="B10" s="2">
        <v>7200000</v>
      </c>
      <c r="C10" s="2">
        <v>8400000</v>
      </c>
      <c r="D10" s="2">
        <v>10800000</v>
      </c>
    </row>
    <row r="11" spans="1:4" x14ac:dyDescent="0.25">
      <c r="A11" t="s">
        <v>20</v>
      </c>
      <c r="B11" s="2">
        <v>2400000</v>
      </c>
      <c r="C11" s="2">
        <v>3000000</v>
      </c>
      <c r="D11" s="2">
        <v>3600000</v>
      </c>
    </row>
    <row r="12" spans="1:4" x14ac:dyDescent="0.25">
      <c r="A12" t="s">
        <v>21</v>
      </c>
      <c r="B12" s="2">
        <v>1200000</v>
      </c>
      <c r="C12" s="2">
        <v>1500000</v>
      </c>
      <c r="D12" s="2">
        <v>1800000</v>
      </c>
    </row>
    <row r="13" spans="1:4" x14ac:dyDescent="0.25">
      <c r="A13" t="s">
        <v>22</v>
      </c>
      <c r="B13" s="2">
        <v>1200000</v>
      </c>
      <c r="C13" s="2">
        <v>1500000</v>
      </c>
      <c r="D13" s="2">
        <v>1800000</v>
      </c>
    </row>
    <row r="14" spans="1:4" x14ac:dyDescent="0.25">
      <c r="A14" t="s">
        <v>23</v>
      </c>
      <c r="B14" s="2">
        <v>1800000</v>
      </c>
      <c r="C14" s="2">
        <v>2400000</v>
      </c>
      <c r="D14" s="2">
        <v>3000000</v>
      </c>
    </row>
    <row r="15" spans="1:4" s="6" customFormat="1" x14ac:dyDescent="0.25">
      <c r="A15" s="6" t="s">
        <v>24</v>
      </c>
      <c r="B15" s="7">
        <f>SUM(B7:B14)</f>
      </c>
      <c r="C15" s="7">
        <f>SUM(C7:C14)</f>
      </c>
      <c r="D15" s="7">
        <f>SUM(D7:D14)</f>
      </c>
    </row>
    <row r="16" spans="1:4" s="8" customFormat="1" x14ac:dyDescent="0.25">
      <c r="A16" s="8" t="s">
        <v>25</v>
      </c>
      <c r="B16" s="9">
        <f>B6-B15</f>
      </c>
      <c r="C16" s="9">
        <f>C6-C15</f>
      </c>
      <c r="D16" s="9">
        <f>D6-D15</f>
      </c>
    </row>
    <row r="17" spans="1:4" x14ac:dyDescent="0.25">
      <c r="A17" t="s">
        <v>26</v>
      </c>
      <c r="B17" s="3">
        <f>B16/B4</f>
      </c>
      <c r="C17" s="3">
        <f>C16/C4</f>
      </c>
      <c r="D17" s="3">
        <f>D16/D4</f>
      </c>
    </row>
    <row r="18" spans="1:4" x14ac:dyDescent="0.25">
      <c r="A18" t="s">
        <v>27</v>
      </c>
      <c r="B18" s="2">
        <f>B16</f>
      </c>
      <c r="C18" s="2">
        <f>B18+C16</f>
      </c>
      <c r="D18" s="2">
        <f>C18+D16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2" width="12" customWidth="1"/>
    <col min="3" max="3" width="16" customWidth="1"/>
  </cols>
  <sheetData>
    <row r="1" spans="1:3" s="1" customFormat="1" x14ac:dyDescent="0.25">
      <c r="A1" s="1" t="s">
        <v>28</v>
      </c>
      <c r="B1" s="1" t="s">
        <v>29</v>
      </c>
      <c r="C1" s="1" t="s">
        <v>30</v>
      </c>
    </row>
    <row r="2" spans="1:3" x14ac:dyDescent="0.25">
      <c r="A2" t="s">
        <v>31</v>
      </c>
      <c r="B2" s="3">
        <v>0.02</v>
      </c>
      <c r="C2">
        <v>14</v>
      </c>
    </row>
    <row r="3" spans="1:3" x14ac:dyDescent="0.25">
      <c r="A3" t="s">
        <v>32</v>
      </c>
      <c r="B3" s="3">
        <v>0.02</v>
      </c>
      <c r="C3">
        <v>14</v>
      </c>
    </row>
    <row r="4" spans="1:3" x14ac:dyDescent="0.25">
      <c r="A4" t="s">
        <v>33</v>
      </c>
      <c r="B4" s="3">
        <v>0.04</v>
      </c>
      <c r="C4">
        <v>29</v>
      </c>
    </row>
    <row r="5" spans="1:3" x14ac:dyDescent="0.25">
      <c r="A5" t="s">
        <v>34</v>
      </c>
      <c r="B5" s="3">
        <v>0.07</v>
      </c>
      <c r="C5">
        <v>50</v>
      </c>
    </row>
    <row r="6" spans="1:3" x14ac:dyDescent="0.25">
      <c r="A6" t="s">
        <v>35</v>
      </c>
      <c r="B6" s="3">
        <v>0.12</v>
      </c>
      <c r="C6">
        <v>86</v>
      </c>
    </row>
    <row r="7" spans="1:3" x14ac:dyDescent="0.25">
      <c r="A7" t="s">
        <v>36</v>
      </c>
      <c r="B7" s="3">
        <v>0.14</v>
      </c>
      <c r="C7">
        <v>101</v>
      </c>
    </row>
    <row r="8" spans="1:3" x14ac:dyDescent="0.25">
      <c r="A8" t="s">
        <v>37</v>
      </c>
      <c r="B8" s="3">
        <v>0.15</v>
      </c>
      <c r="C8">
        <v>108</v>
      </c>
    </row>
    <row r="9" spans="1:3" x14ac:dyDescent="0.25">
      <c r="A9" t="s">
        <v>38</v>
      </c>
      <c r="B9" s="3">
        <v>0.15</v>
      </c>
      <c r="C9">
        <v>108</v>
      </c>
    </row>
    <row r="10" spans="1:3" x14ac:dyDescent="0.25">
      <c r="A10" t="s">
        <v>39</v>
      </c>
      <c r="B10" s="3">
        <v>0.12</v>
      </c>
      <c r="C10">
        <v>86</v>
      </c>
    </row>
    <row r="11" spans="1:3" x14ac:dyDescent="0.25">
      <c r="A11" t="s">
        <v>40</v>
      </c>
      <c r="B11" s="3">
        <v>0.09</v>
      </c>
      <c r="C11">
        <v>65</v>
      </c>
    </row>
    <row r="12" spans="1:3" x14ac:dyDescent="0.25">
      <c r="A12" t="s">
        <v>41</v>
      </c>
      <c r="B12" s="3">
        <v>0.05</v>
      </c>
      <c r="C12">
        <v>36</v>
      </c>
    </row>
    <row r="13" spans="1:3" x14ac:dyDescent="0.25">
      <c r="A13" t="s">
        <v>42</v>
      </c>
      <c r="B13" s="3">
        <v>0.03</v>
      </c>
      <c r="C13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52" customWidth="1"/>
    <col min="2" max="2" width="18" customWidth="1"/>
  </cols>
  <sheetData>
    <row r="1" spans="1:2" s="1" customFormat="1" x14ac:dyDescent="0.25">
      <c r="A1" s="1" t="s">
        <v>43</v>
      </c>
      <c r="B1" s="1" t="s">
        <v>44</v>
      </c>
    </row>
    <row r="2" spans="1:2" x14ac:dyDescent="0.25">
      <c r="A2" t="s">
        <v>45</v>
      </c>
      <c r="B2" s="2">
        <v>6000000</v>
      </c>
    </row>
    <row r="3" spans="1:2" x14ac:dyDescent="0.25">
      <c r="A3" t="s">
        <v>46</v>
      </c>
      <c r="B3" s="2">
        <v>3000000</v>
      </c>
    </row>
    <row r="4" spans="1:2" x14ac:dyDescent="0.25">
      <c r="A4" t="s">
        <v>47</v>
      </c>
      <c r="B4" s="2">
        <v>2500000</v>
      </c>
    </row>
    <row r="5" spans="1:2" x14ac:dyDescent="0.25">
      <c r="A5" t="s">
        <v>48</v>
      </c>
      <c r="B5" s="2">
        <v>1500000</v>
      </c>
    </row>
    <row r="6" spans="1:2" x14ac:dyDescent="0.25">
      <c r="A6" t="s">
        <v>49</v>
      </c>
      <c r="B6" s="2">
        <v>4000000</v>
      </c>
    </row>
    <row r="7" spans="1:2" s="6" customFormat="1" x14ac:dyDescent="0.25">
      <c r="A7" s="6" t="s">
        <v>50</v>
      </c>
      <c r="B7" s="7">
        <f>SUM(B2:B6)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Допущения</vt:lpstr>
      <vt:lpstr>Финансовая модель</vt:lpstr>
      <vt:lpstr>Сезонность</vt:lpstr>
      <vt:lpstr>Инвестиции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JEEP.ALATAU</dc:creator>
  <dc:title/>
  <dc:subject/>
  <dc:description/>
  <cp:keywords/>
  <cp:category/>
  <cp:lastModifiedBy>Unknown</cp:lastModifiedBy>
  <dcterms:created xsi:type="dcterms:W3CDTF">2026-06-07T19:31:03Z</dcterms:created>
  <dcterms:modified xsi:type="dcterms:W3CDTF">2026-06-07T19:31:03Z</dcterms:modified>
</cp:coreProperties>
</file>